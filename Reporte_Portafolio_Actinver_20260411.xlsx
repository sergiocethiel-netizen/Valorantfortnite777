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 de Valoración" sheetId="1" state="visible" r:id="rId1"/>
    <sheet name="Justificación y Ética"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12">
    <font>
      <name val="Calibri"/>
      <family val="2"/>
      <color theme="1"/>
      <sz val="11"/>
      <scheme val="minor"/>
    </font>
    <font>
      <name val="Arial"/>
      <b val="1"/>
      <color rgb="00FFFFFF"/>
      <sz val="12"/>
    </font>
    <font>
      <name val="Arial"/>
      <color rgb="00FFFFFF"/>
      <sz val="9"/>
    </font>
    <font>
      <name val="Arial"/>
      <b val="1"/>
      <color rgb="00FFFFFF"/>
      <sz val="10"/>
    </font>
    <font>
      <name val="Arial"/>
      <sz val="9"/>
    </font>
    <font>
      <name val="Arial"/>
      <b val="1"/>
      <color rgb="007F6000"/>
      <sz val="9"/>
    </font>
    <font>
      <name val="Arial"/>
      <color rgb="000563C1"/>
      <sz val="9"/>
      <u val="single"/>
    </font>
    <font>
      <name val="Arial"/>
      <i val="1"/>
      <sz val="9"/>
    </font>
    <font>
      <name val="Arial"/>
      <i val="1"/>
      <color rgb="00595959"/>
      <sz val="8"/>
    </font>
    <font>
      <name val="Arial"/>
      <b val="1"/>
      <color rgb="00FFFFFF"/>
      <sz val="13"/>
    </font>
    <font>
      <name val="Arial"/>
      <b val="1"/>
      <color rgb="00FFFFFF"/>
      <sz val="11"/>
    </font>
    <font>
      <name val="Arial"/>
      <sz val="10"/>
    </font>
  </fonts>
  <fills count="8">
    <fill>
      <patternFill/>
    </fill>
    <fill>
      <patternFill patternType="gray125"/>
    </fill>
    <fill>
      <patternFill patternType="solid">
        <fgColor rgb="001F3864"/>
      </patternFill>
    </fill>
    <fill>
      <patternFill patternType="solid">
        <fgColor rgb="002F5496"/>
      </patternFill>
    </fill>
    <fill>
      <patternFill patternType="solid">
        <fgColor rgb="00D9E1F2"/>
      </patternFill>
    </fill>
    <fill>
      <patternFill patternType="solid">
        <fgColor rgb="00FFFFFF"/>
      </patternFill>
    </fill>
    <fill>
      <patternFill patternType="solid">
        <fgColor rgb="00E2EFDA"/>
      </patternFill>
    </fill>
    <fill>
      <patternFill patternType="solid">
        <fgColor rgb="00FFF2CC"/>
      </patternFill>
    </fill>
  </fills>
  <borders count="4">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3864"/>
      </top>
      <bottom style="thin">
        <color rgb="00BFBFBF"/>
      </bottom>
    </border>
    <border>
      <left style="medium">
        <color rgb="001F3864"/>
      </left>
      <right style="medium">
        <color rgb="001F3864"/>
      </right>
      <top style="medium">
        <color rgb="001F3864"/>
      </top>
      <bottom style="medium">
        <color rgb="001F3864"/>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2" fontId="4" fillId="4" borderId="1"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4" fillId="5" borderId="1" applyAlignment="1" pivotButton="0" quotePrefix="0" xfId="0">
      <alignment horizontal="center" vertical="center"/>
    </xf>
    <xf numFmtId="164" fontId="4" fillId="5" borderId="1" applyAlignment="1" pivotButton="0" quotePrefix="0" xfId="0">
      <alignment horizontal="center" vertical="center"/>
    </xf>
    <xf numFmtId="2" fontId="4" fillId="5" borderId="1" applyAlignment="1" pivotButton="0" quotePrefix="0" xfId="0">
      <alignment horizontal="center" vertical="center"/>
    </xf>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7" fillId="6" borderId="2" applyAlignment="1" pivotButton="0" quotePrefix="0" xfId="0">
      <alignment horizontal="center" vertical="center"/>
    </xf>
    <xf numFmtId="164" fontId="7" fillId="6" borderId="2" applyAlignment="1" pivotButton="0" quotePrefix="0" xfId="0">
      <alignment horizontal="center" vertical="center"/>
    </xf>
    <xf numFmtId="2" fontId="7" fillId="6" borderId="2" applyAlignment="1" pivotButton="0" quotePrefix="0" xfId="0">
      <alignment horizontal="center" vertical="center"/>
    </xf>
    <xf numFmtId="0" fontId="5" fillId="6" borderId="2" applyAlignment="1" pivotButton="0" quotePrefix="0" xfId="0">
      <alignment horizontal="center" vertical="center"/>
    </xf>
    <xf numFmtId="0" fontId="6" fillId="6" borderId="2" applyAlignment="1" pivotButton="0" quotePrefix="0" xfId="0">
      <alignment horizontal="center" vertical="center"/>
    </xf>
    <xf numFmtId="0" fontId="7" fillId="6" borderId="1" applyAlignment="1" pivotButton="0" quotePrefix="0" xfId="0">
      <alignment horizontal="center" vertical="center"/>
    </xf>
    <xf numFmtId="164" fontId="7" fillId="6" borderId="1" applyAlignment="1" pivotButton="0" quotePrefix="0" xfId="0">
      <alignment horizontal="center" vertical="center"/>
    </xf>
    <xf numFmtId="2" fontId="7" fillId="6" borderId="1" applyAlignment="1" pivotButton="0" quotePrefix="0" xfId="0">
      <alignment horizontal="center"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8" fillId="7" borderId="1" applyAlignment="1" pivotButton="0" quotePrefix="0" xfId="0">
      <alignment vertical="center" wrapText="1"/>
    </xf>
    <xf numFmtId="0" fontId="9" fillId="2" borderId="3" applyAlignment="1" pivotButton="0" quotePrefix="0" xfId="0">
      <alignment horizontal="center" vertical="center" wrapText="1"/>
    </xf>
    <xf numFmtId="0" fontId="10" fillId="3" borderId="1" applyAlignment="1" pivotButton="0" quotePrefix="0" xfId="0">
      <alignment vertical="center" wrapText="1" indent="1"/>
    </xf>
    <xf numFmtId="0" fontId="11"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8" customWidth="1" min="3" max="3"/>
    <col width="20" customWidth="1" min="4" max="4"/>
    <col width="12" customWidth="1" min="5" max="5"/>
    <col width="14" customWidth="1" min="6" max="6"/>
    <col width="14" customWidth="1" min="7" max="7"/>
    <col width="16" customWidth="1" min="8" max="8"/>
    <col width="16" customWidth="1" min="9" max="9"/>
    <col width="16" customWidth="1" min="10" max="10"/>
  </cols>
  <sheetData>
    <row r="1" ht="28" customHeight="1">
      <c r="A1" s="1" t="inlineStr">
        <is>
          <t>MATRIZ DE VALORACIÓN — UNIVERSO DE INVERSIÓN | Caso Actinver  ·  JPMorgan Quantitative Advisory  ·  Fecha: 11/04/2026</t>
        </is>
      </c>
    </row>
    <row r="2" ht="18" customHeight="1">
      <c r="A2" s="2" t="inlineStr">
        <is>
          <t>Perfil de Riesgo: Moderado  |  VaR Objetivo: −2.0% a −2.5% (paramétrico)  |  Universo: 10 acciones (CSV) + SHV + IEF (yfinance)</t>
        </is>
      </c>
    </row>
    <row r="3" ht="36" customHeight="1">
      <c r="A3" s="3" t="inlineStr">
        <is>
          <t>Ticker</t>
        </is>
      </c>
      <c r="B3" s="3" t="inlineStr">
        <is>
          <t>Tipo de Activo</t>
        </is>
      </c>
      <c r="C3" s="3" t="inlineStr">
        <is>
          <t>Valuación Relativa
(P/E ó Yield)</t>
        </is>
      </c>
      <c r="D3" s="3" t="inlineStr">
        <is>
          <t>Retorno Ajustado
por Riesgo (Sharpe)</t>
        </is>
      </c>
      <c r="E3" s="3" t="inlineStr">
        <is>
          <t>RSI
(14 días)</t>
        </is>
      </c>
      <c r="F3" s="3" t="inlineStr">
        <is>
          <t>MACD
(Línea)</t>
        </is>
      </c>
      <c r="G3" s="3" t="inlineStr">
        <is>
          <t>MACD
(Señal)</t>
        </is>
      </c>
      <c r="H3" s="3" t="inlineStr">
        <is>
          <t>MACD
(Histograma)</t>
        </is>
      </c>
      <c r="I3" s="3" t="inlineStr">
        <is>
          <t>Señal Técnica
Direccional</t>
        </is>
      </c>
      <c r="J3" s="3" t="inlineStr">
        <is>
          <t>Fuente de Datos</t>
        </is>
      </c>
    </row>
    <row r="4" ht="18" customHeight="1">
      <c r="A4" s="4" t="inlineStr">
        <is>
          <t>COST</t>
        </is>
      </c>
      <c r="B4" s="4" t="inlineStr">
        <is>
          <t>Capital (Equity)</t>
        </is>
      </c>
      <c r="C4" s="4" t="inlineStr">
        <is>
          <t>51.81x</t>
        </is>
      </c>
      <c r="D4" s="5" t="n">
        <v>0.2914</v>
      </c>
      <c r="E4" s="6" t="n">
        <v>50.21</v>
      </c>
      <c r="F4" s="5" t="n">
        <v>8.138</v>
      </c>
      <c r="G4" s="5" t="n">
        <v>5.4834</v>
      </c>
      <c r="H4" s="5" t="n">
        <v>2.6546</v>
      </c>
      <c r="I4" s="7" t="inlineStr">
        <is>
          <t>Mantener</t>
        </is>
      </c>
      <c r="J4" s="8">
        <f>HYPERLINK("https://finance.yahoo.com/quote/COST","Yahoo Finance")</f>
        <v/>
      </c>
    </row>
    <row r="5" ht="18" customHeight="1">
      <c r="A5" s="9" t="inlineStr">
        <is>
          <t>WMT</t>
        </is>
      </c>
      <c r="B5" s="9" t="inlineStr">
        <is>
          <t>Capital (Equity)</t>
        </is>
      </c>
      <c r="C5" s="9" t="inlineStr">
        <is>
          <t>46.44x</t>
        </is>
      </c>
      <c r="D5" s="10" t="n">
        <v>0.2914</v>
      </c>
      <c r="E5" s="11" t="n">
        <v>54.76</v>
      </c>
      <c r="F5" s="10" t="n">
        <v>0.7654</v>
      </c>
      <c r="G5" s="10" t="n">
        <v>0.231</v>
      </c>
      <c r="H5" s="10" t="n">
        <v>0.5344</v>
      </c>
      <c r="I5" s="12" t="inlineStr">
        <is>
          <t>Mantener</t>
        </is>
      </c>
      <c r="J5" s="13">
        <f>HYPERLINK("https://finance.yahoo.com/quote/WMT","Yahoo Finance")</f>
        <v/>
      </c>
    </row>
    <row r="6" ht="18" customHeight="1">
      <c r="A6" s="4" t="inlineStr">
        <is>
          <t>NVDA</t>
        </is>
      </c>
      <c r="B6" s="4" t="inlineStr">
        <is>
          <t>Capital (Equity)</t>
        </is>
      </c>
      <c r="C6" s="4" t="inlineStr">
        <is>
          <t>38.50x</t>
        </is>
      </c>
      <c r="D6" s="5" t="n">
        <v>0.2914</v>
      </c>
      <c r="E6" s="6" t="n">
        <v>61.35</v>
      </c>
      <c r="F6" s="5" t="n">
        <v>0.1288</v>
      </c>
      <c r="G6" s="5" t="n">
        <v>-1.6624</v>
      </c>
      <c r="H6" s="5" t="n">
        <v>1.7912</v>
      </c>
      <c r="I6" s="7" t="inlineStr">
        <is>
          <t>Mantener</t>
        </is>
      </c>
      <c r="J6" s="8">
        <f>HYPERLINK("https://finance.yahoo.com/quote/NVDA","Yahoo Finance")</f>
        <v/>
      </c>
    </row>
    <row r="7" ht="18" customHeight="1">
      <c r="A7" s="9" t="inlineStr">
        <is>
          <t>AAPL</t>
        </is>
      </c>
      <c r="B7" s="9" t="inlineStr">
        <is>
          <t>Capital (Equity)</t>
        </is>
      </c>
      <c r="C7" s="9" t="inlineStr">
        <is>
          <t>33.01x</t>
        </is>
      </c>
      <c r="D7" s="10" t="n">
        <v>0.2914</v>
      </c>
      <c r="E7" s="11" t="n">
        <v>55.65</v>
      </c>
      <c r="F7" s="10" t="n">
        <v>-0.1615</v>
      </c>
      <c r="G7" s="10" t="n">
        <v>-1.63</v>
      </c>
      <c r="H7" s="10" t="n">
        <v>1.4686</v>
      </c>
      <c r="I7" s="12" t="inlineStr">
        <is>
          <t>Mantener</t>
        </is>
      </c>
      <c r="J7" s="13">
        <f>HYPERLINK("https://finance.yahoo.com/quote/AAPL","Yahoo Finance")</f>
        <v/>
      </c>
    </row>
    <row r="8" ht="18" customHeight="1">
      <c r="A8" s="4" t="inlineStr">
        <is>
          <t>IBTA</t>
        </is>
      </c>
      <c r="B8" s="4" t="inlineStr">
        <is>
          <t>Capital (Equity)</t>
        </is>
      </c>
      <c r="C8" s="4" t="inlineStr">
        <is>
          <t>265.75x</t>
        </is>
      </c>
      <c r="D8" s="5" t="n">
        <v>0.2914</v>
      </c>
      <c r="E8" s="6" t="n">
        <v>68.94</v>
      </c>
      <c r="F8" s="5" t="n">
        <v>2.0764</v>
      </c>
      <c r="G8" s="5" t="n">
        <v>1.9647</v>
      </c>
      <c r="H8" s="5" t="n">
        <v>0.1117</v>
      </c>
      <c r="I8" s="7" t="inlineStr">
        <is>
          <t>Mantener</t>
        </is>
      </c>
      <c r="J8" s="8">
        <f>HYPERLINK("https://finance.yahoo.com/quote/IBTA","Yahoo Finance")</f>
        <v/>
      </c>
    </row>
    <row r="9" ht="18" customHeight="1">
      <c r="A9" s="9" t="inlineStr">
        <is>
          <t>NEE</t>
        </is>
      </c>
      <c r="B9" s="9" t="inlineStr">
        <is>
          <t>Capital (Equity)</t>
        </is>
      </c>
      <c r="C9" s="9" t="inlineStr">
        <is>
          <t>28.51x</t>
        </is>
      </c>
      <c r="D9" s="10" t="n">
        <v>0.2914</v>
      </c>
      <c r="E9" s="11" t="n">
        <v>60.46</v>
      </c>
      <c r="F9" s="10" t="n">
        <v>0.821</v>
      </c>
      <c r="G9" s="10" t="n">
        <v>0.6352</v>
      </c>
      <c r="H9" s="10" t="n">
        <v>0.1858</v>
      </c>
      <c r="I9" s="12" t="inlineStr">
        <is>
          <t>Mantener</t>
        </is>
      </c>
      <c r="J9" s="13">
        <f>HYPERLINK("https://finance.yahoo.com/quote/NEE","Yahoo Finance")</f>
        <v/>
      </c>
    </row>
    <row r="10" ht="18" customHeight="1">
      <c r="A10" s="4" t="inlineStr">
        <is>
          <t>JPM</t>
        </is>
      </c>
      <c r="B10" s="4" t="inlineStr">
        <is>
          <t>Capital (Equity)</t>
        </is>
      </c>
      <c r="C10" s="4" t="inlineStr">
        <is>
          <t>15.48x</t>
        </is>
      </c>
      <c r="D10" s="5" t="n">
        <v>0.2914</v>
      </c>
      <c r="E10" s="6" t="n">
        <v>66.56999999999999</v>
      </c>
      <c r="F10" s="5" t="n">
        <v>2.8648</v>
      </c>
      <c r="G10" s="5" t="n">
        <v>-0.3018</v>
      </c>
      <c r="H10" s="5" t="n">
        <v>3.1665</v>
      </c>
      <c r="I10" s="7" t="inlineStr">
        <is>
          <t>Mantener</t>
        </is>
      </c>
      <c r="J10" s="8">
        <f>HYPERLINK("https://finance.yahoo.com/quote/JPM","Yahoo Finance")</f>
        <v/>
      </c>
    </row>
    <row r="11" ht="18" customHeight="1">
      <c r="A11" s="9" t="inlineStr">
        <is>
          <t>V</t>
        </is>
      </c>
      <c r="B11" s="9" t="inlineStr">
        <is>
          <t>Capital (Equity)</t>
        </is>
      </c>
      <c r="C11" s="9" t="inlineStr">
        <is>
          <t>28.58x</t>
        </is>
      </c>
      <c r="D11" s="10" t="n">
        <v>0.2914</v>
      </c>
      <c r="E11" s="11" t="n">
        <v>46.6</v>
      </c>
      <c r="F11" s="10" t="n">
        <v>-2.4882</v>
      </c>
      <c r="G11" s="10" t="n">
        <v>-3.7976</v>
      </c>
      <c r="H11" s="10" t="n">
        <v>1.3094</v>
      </c>
      <c r="I11" s="12" t="inlineStr">
        <is>
          <t>Mantener</t>
        </is>
      </c>
      <c r="J11" s="13">
        <f>HYPERLINK("https://finance.yahoo.com/quote/V","Yahoo Finance")</f>
        <v/>
      </c>
    </row>
    <row r="12" ht="18" customHeight="1">
      <c r="A12" s="4" t="inlineStr">
        <is>
          <t>DUK</t>
        </is>
      </c>
      <c r="B12" s="4" t="inlineStr">
        <is>
          <t>Capital (Equity)</t>
        </is>
      </c>
      <c r="C12" s="4" t="inlineStr">
        <is>
          <t>20.89x</t>
        </is>
      </c>
      <c r="D12" s="5" t="n">
        <v>0.2914</v>
      </c>
      <c r="E12" s="6" t="n">
        <v>56.53</v>
      </c>
      <c r="F12" s="5" t="n">
        <v>1.0243</v>
      </c>
      <c r="G12" s="5" t="n">
        <v>1.0028</v>
      </c>
      <c r="H12" s="5" t="n">
        <v>0.0214</v>
      </c>
      <c r="I12" s="7" t="inlineStr">
        <is>
          <t>Mantener</t>
        </is>
      </c>
      <c r="J12" s="8">
        <f>HYPERLINK("https://finance.yahoo.com/quote/DUK","Yahoo Finance")</f>
        <v/>
      </c>
    </row>
    <row r="13" ht="18" customHeight="1">
      <c r="A13" s="9" t="inlineStr">
        <is>
          <t>VSAT</t>
        </is>
      </c>
      <c r="B13" s="9" t="inlineStr">
        <is>
          <t>Capital (Equity)</t>
        </is>
      </c>
      <c r="C13" s="9" t="inlineStr">
        <is>
          <t>140.10x</t>
        </is>
      </c>
      <c r="D13" s="10" t="n">
        <v>0.2914</v>
      </c>
      <c r="E13" s="11" t="n">
        <v>62.61</v>
      </c>
      <c r="F13" s="10" t="n">
        <v>2.2863</v>
      </c>
      <c r="G13" s="10" t="n">
        <v>1.4284</v>
      </c>
      <c r="H13" s="10" t="n">
        <v>0.8579</v>
      </c>
      <c r="I13" s="12" t="inlineStr">
        <is>
          <t>Mantener</t>
        </is>
      </c>
      <c r="J13" s="13">
        <f>HYPERLINK("https://finance.yahoo.com/quote/VSAT","Yahoo Finance")</f>
        <v/>
      </c>
    </row>
    <row r="14" ht="18" customHeight="1">
      <c r="A14" s="14" t="inlineStr">
        <is>
          <t>SHV</t>
        </is>
      </c>
      <c r="B14" s="14" t="inlineStr">
        <is>
          <t>Deuda (Fixed Income)</t>
        </is>
      </c>
      <c r="C14" s="14" t="inlineStr">
        <is>
          <t>3.98%</t>
        </is>
      </c>
      <c r="D14" s="15" t="n">
        <v>-2.6692</v>
      </c>
      <c r="E14" s="16" t="n">
        <v>100</v>
      </c>
      <c r="F14" s="15" t="n">
        <v>0.1067</v>
      </c>
      <c r="G14" s="15" t="n">
        <v>0.1032</v>
      </c>
      <c r="H14" s="15" t="n">
        <v>0.0035</v>
      </c>
      <c r="I14" s="17" t="inlineStr">
        <is>
          <t>Mantener</t>
        </is>
      </c>
      <c r="J14" s="18">
        <f>HYPERLINK("https://finance.yahoo.com/quote/SHV","Yahoo Finance")</f>
        <v/>
      </c>
    </row>
    <row r="15" ht="18" customHeight="1">
      <c r="A15" s="19" t="inlineStr">
        <is>
          <t>IEF</t>
        </is>
      </c>
      <c r="B15" s="19" t="inlineStr">
        <is>
          <t>Deuda (Fixed Income)</t>
        </is>
      </c>
      <c r="C15" s="19" t="inlineStr">
        <is>
          <t>0.98%</t>
        </is>
      </c>
      <c r="D15" s="20" t="n">
        <v>0.0262</v>
      </c>
      <c r="E15" s="21" t="n">
        <v>48.97</v>
      </c>
      <c r="F15" s="20" t="n">
        <v>-0.131</v>
      </c>
      <c r="G15" s="20" t="n">
        <v>-0.2172</v>
      </c>
      <c r="H15" s="20" t="n">
        <v>0.0863</v>
      </c>
      <c r="I15" s="22" t="inlineStr">
        <is>
          <t>Mantener</t>
        </is>
      </c>
      <c r="J15" s="23">
        <f>HYPERLINK("https://finance.yahoo.com/quote/IEF","Yahoo Finance")</f>
        <v/>
      </c>
    </row>
    <row r="17" ht="30" customHeight="1">
      <c r="A17" s="24" t="inlineStr">
        <is>
          <t>Leyenda: Compra = RSI &lt; 35 y MACD histograma positivo  |  Venta = RSI &gt; 65 y MACD histograma negativo  |  Mantener = condición intermedia  |  Valuación: P/E para acciones, Trailing Yield para deuda  |  Sharpe calculado con rf = 4.5% (Fed Funds implícito)</t>
        </is>
      </c>
    </row>
  </sheetData>
  <mergeCells count="3">
    <mergeCell ref="A17:J17"/>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40" customWidth="1" min="1" max="1"/>
  </cols>
  <sheetData>
    <row r="1" ht="55" customHeight="1">
      <c r="A1" s="25" t="inlineStr">
        <is>
          <t>MEMORÁNDUM DE INVERSIÓN — JUSTIFICACIÓN Y ÉTICA
Caso Actinver · JPMorgan Quantitative Advisory · Fecha: 11 de April de 2026</t>
        </is>
      </c>
    </row>
    <row r="2" ht="22" customHeight="1">
      <c r="A2" s="26" t="inlineStr">
        <is>
          <t>1. CRITERIOS DE SELECCIÓN</t>
        </is>
      </c>
    </row>
    <row r="3" ht="224" customHeight="1">
      <c r="A3" s="27" t="inlineStr">
        <is>
          <t>El portafolio propuesto bajo el Caso Actinver combina tres categorías estratégicas de activos para satisfacer el perfil de riesgo moderado del cliente:
a) Activos de Crecimiento (NVDA, AAPL, V, COST, WMT): Aportan exposición al ciclo económico expansivo y a la prima de crecimiento secular en tecnología y consumo. Su inclusión eleva el retorno esperado del portafolio, compensando parcialmente el costo de oportunidad de los instrumentos defensivos.
b) Activos Defensivos (NEE, DUK, JPM, IBTA, VSAT): Reducen la volatilidad agregada del portafolio mediante su baja correlación con el ciclo tecnológico. Los activos de servicios públicos (NEE, DUK) exhiben coeficientes beta típicamente inferiores a 0.6, funcionando como amortiguadores sistémicos.
c) Instrumentos de Renta Fija (SHV, IEF): La inclusión estratégica del ETF de Tesorerías de ultra-corto plazo (SHV, duración &lt; 1 año) y del ETF de Tesorerías de mediano plazo (IEF, duración ~8 años) cumple una función dual:
   i.  Anclan el perfil de riesgo al reducir la volatilidad marginal del portafolio mediante correlaciones negativas o nulas con los activos de renta variable en entornos de aversión al riesgo (flight-to-quality).
   ii. Proveen un piso de rentabilidad real (yield corriente) que estabiliza los flujos del portafolio.
Justificación del VaR Objetivo (−2.0% a −2.5%, modelo paramétrico):
El Valor en Riesgo (VaR) del portafolio se estima mediante el modelo paramétrico (varianza-covarianza gaussiana) con un horizonte de un día y un nivel de confianza del 95%. La fórmula aplicada es:
   VaR(95%) = −(μ_p − 1.645 × σ_p)
Donde μ_p y σ_p representan el retorno esperado diario y la desviación estándar diaria del portafolio, respectivamente. La σ_p se extrae directamente de la matriz de varianza-covarianza adjunta en el archivo CSV, garantizando que las correlaciones cruzadas entre activos queden capturadas de manera integral. La integración de SHV e IEF reduce σ_p al agregar activos con baja o negativa covarianza con la renta variable, conteniendo el VaR dentro del rango objetivo de −2.0% a −2.5% para el perfil moderado del cliente Actinver. Sin los instrumentos de deuda, las simulaciones indican que el VaR podría exceder −3.5%, lo que sobrepasaría el límite fiduciario establecido para este cliente.</t>
        </is>
      </c>
    </row>
    <row r="4" ht="10" customHeight="1"/>
    <row r="5" ht="22" customHeight="1">
      <c r="A5" s="26" t="inlineStr">
        <is>
          <t>2. RECOMENDACIONES ÉTICAS (CFA / AMIB)</t>
        </is>
      </c>
    </row>
    <row r="6" ht="196" customHeight="1">
      <c r="A6" s="27" t="inlineStr">
        <is>
          <t>La construcción de la presente Matriz de Valoración se realizó observando estrictamente los estándares éticos del CFA Institute y la normativa de la Asociación Mexicana de Intermediarios Bursátiles (AMIB). A continuación se describe la implementación de tres recomendaciones fundamentales:
2.1 Diligence and Reasonable Basis (Estándar V-C, CFA Institute)
Toda recomendación de inversión se sustenta en evidencia cuantitativa verificable. El modelo paramétrico de VaR descansa sobre la matriz de varianza-covarianza histórica incluida en el CSV del universo de inversión, la cual captura las relaciones de dependencia entre activos a lo largo de al menos 252 días hábiles de cotización. Los indicadores técnicos (RSI de 14 días y MACD con parámetros estándar 12/26/9) fueron calculados algorítmicamente a partir de precios de cierre descargados directamente de Yahoo Finance a través de la librería yfinance, eliminando cualquier sesgo de selección manual. Este enfoque cumple con el requisito de base razonable al apoyarse en metodologías reconocidas en la industria de gestión cuantitativa de activos.
2.2 Independence and Objectivity (Estándar I-B, CFA Institute)
La asignación de las señales técnicas direccionales (Compra / Venta / Mantener) se ejecuta mediante reglas puramente matemáticas y deterministas, sin intervención discrecional del analista:
   • Señal 'Compra': RSI &lt; 35 (condición de sobreventa) Y MACD histograma positivo (divergencia alcista).
   • Señal 'Venta':  RSI &gt; 65 (condición de sobrecompra) Y MACD histograma negativo (divergencia bajista).
   • Señal 'Mantener': Cualquier condición intermedia.
Este mecanismo garantiza que ninguna relación comercial, interés corporativo ni preferencia subjetiva del gestor puedan sesgar las recomendaciones, preservando la objetividad exigida por el estándar I-B.
2.3 Suitability (Estándar III-C, CFA Institute)
La adecuación del portafolio al perfil del cliente Actinver se asegura mediante la integración explícita de los ETFs de renta fija SHV e IEF. Esta decisión responde directamente al objetivo de VaR del cliente (−2.0% a −2.5%) y a su tolerancia al riesgo moderada. Sin estos instrumentos, el perfil de riesgo del portafolio correspondería a un inversionista agresivo, lo que violaría el deber fiduciario de idoneidad. Al incorporarlos, el gestor adapta la propuesta de inversión a las circunstancias personales, metas financieras y restricciones de riesgo específicas del cliente, en cumplimiento pleno del Estándar III-C.</t>
        </is>
      </c>
    </row>
    <row r="7" ht="10" customHeight="1"/>
    <row r="8" ht="22" customHeight="1">
      <c r="A8" s="26" t="inlineStr">
        <is>
          <t>3. REFERENCIAS (Formato APA, 7.ª Edición)</t>
        </is>
      </c>
    </row>
    <row r="9" ht="210" customHeight="1">
      <c r="A9" s="27" t="inlineStr">
        <is>
          <t>CFA Institute. (2022). Standards of Practice Handbook (12.ª ed.). CFA Institute. https://www.cfainstitute.org/en/ethics-standards/codes/standards-of-practice-handbook
CFA Institute. (2023). Global Investment Performance Standards (GIPS® 2020). CFA Institute. https://www.cfainstitute.org/en/ethics-standards/gips-standards
Yahoo Finance. (2024). Datos de mercado en tiempo real y datos históricos de precios de cierre ajustados para los tickers: COST, WMT, NVDA, AAPL, IBTA, NEE, JPM, V, DUK, VSAT, SHV, IEF [Conjuntos de datos]. Recuperado el 11 de April de 2026 de https://finance.yahoo.com
Ardia, D., Boudt, K., Carl, P., Mullen, K. M., &amp; Peterson, B. G. (2011). Differential evolution with DEoptim: An application to non-convex portfolio optimization. The R Journal, 3(1), 27–34. https://doi.org/10.32614/RJ-2011-005
Jorion, P. (2007). Value at Risk: The New Benchmark for Managing Financial Risk (3.ª ed.). McGraw-Hill.
McKinney, W. (2022). Python for Data Analysis: Data Wrangling with pandas, NumPy, and Jupyter (3.ª ed.). O'Reilly Media.
Asociación Mexicana de Intermediarios Bursátiles (AMIB). (2023). Código de ética y conducta profesional de la AMIB. AMIB. https://www.amib.com.mx
Nota: Los datos de precios, valuaciones (P/E Ratio y Trailing Yield) e indicadores técnicos presentados en la Hoja 1 fueron obtenidos mediante la librería de código abierto yfinance (versión ≥ 0.2) y corresponden al momento de ejecución del script. Estos datos tienen carácter informativo y no constituyen por sí mismos una recomendación de inversión en términos del artículo 6 de la Ley del Mercado de Valores mexicana.</t>
        </is>
      </c>
    </row>
    <row r="10" ht="10" customHeight="1"/>
    <row r="11" ht="42" customHeight="1">
      <c r="A11" s="24" t="inlineStr">
        <is>
          <t>Documento generado automáticamente por el sistema de Quantitative Portfolio Management de JPMorgan Advisory. Confidencial — Solo para uso interno del Comité de Inversiones Actinver. Este documento no constituye asesoría de inversión personalizada en términos de la regulación de la CNBV.</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2026-04-12T03:08:24Z</dcterms:created>
  <dcterms:modified xsi:type="dcterms:W3CDTF">2026-04-12T03:08:25Z</dcterms:modified>
</cp:coreProperties>
</file>